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60A38313-9868-4C4A-BC96-E96408C47E35}" xr6:coauthVersionLast="46" xr6:coauthVersionMax="46" xr10:uidLastSave="{00000000-0000-0000-0000-000000000000}"/>
  <bookViews>
    <workbookView xWindow="17865" yWindow="900" windowWidth="21600" windowHeight="11385" xr2:uid="{BD50B5BA-042A-4506-A49D-01734CB5C00B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5" i="1"/>
  <c r="W16" i="2"/>
  <c r="O16" i="2"/>
  <c r="C4" i="2"/>
  <c r="AI16" i="2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P16" i="2" l="1"/>
  <c r="I16" i="2"/>
  <c r="R16" i="2"/>
  <c r="K16" i="2"/>
  <c r="S16" i="2"/>
  <c r="AA16" i="2"/>
  <c r="L16" i="2"/>
  <c r="T16" i="2"/>
  <c r="AB16" i="2"/>
  <c r="H16" i="2"/>
  <c r="X16" i="2"/>
  <c r="Y16" i="2"/>
  <c r="J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C16" i="2"/>
  <c r="F13" i="2"/>
  <c r="G16" i="2" s="1"/>
  <c r="Q16" i="2"/>
  <c r="C5" i="2"/>
  <c r="Z16" i="2"/>
  <c r="M16" i="2"/>
  <c r="U16" i="2"/>
  <c r="N16" i="2"/>
  <c r="V16" i="2"/>
  <c r="AD16" i="2"/>
  <c r="AE16" i="2"/>
  <c r="AF16" i="2"/>
  <c r="AG16" i="2"/>
  <c r="AH16" i="2"/>
  <c r="AI15" i="2" l="1"/>
  <c r="AA15" i="2"/>
  <c r="S15" i="2"/>
  <c r="K15" i="2"/>
  <c r="AH15" i="2"/>
  <c r="Z15" i="2"/>
  <c r="R15" i="2"/>
  <c r="AE15" i="2"/>
  <c r="O15" i="2"/>
  <c r="V15" i="2"/>
  <c r="J15" i="2"/>
  <c r="W15" i="2"/>
  <c r="G15" i="2"/>
  <c r="AD15" i="2"/>
  <c r="AC15" i="2"/>
  <c r="U15" i="2"/>
  <c r="M15" i="2"/>
  <c r="AB15" i="2"/>
  <c r="L15" i="2"/>
  <c r="AG15" i="2"/>
  <c r="Y15" i="2"/>
  <c r="Q15" i="2"/>
  <c r="I15" i="2"/>
  <c r="AF15" i="2"/>
  <c r="X15" i="2"/>
  <c r="P15" i="2"/>
  <c r="H15" i="2"/>
  <c r="N15" i="2"/>
  <c r="T15" i="2"/>
</calcChain>
</file>

<file path=xl/sharedStrings.xml><?xml version="1.0" encoding="utf-8"?>
<sst xmlns="http://schemas.openxmlformats.org/spreadsheetml/2006/main" count="25" uniqueCount="12">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</sst>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63893894140988E-2"/>
          <c:y val="3.9909291351539436E-2"/>
          <c:w val="0.88494952237553381"/>
          <c:h val="0.8331066059316175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84-41E9-ACFD-6DBA834F8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619584"/>
        <c:axId val="1957620416"/>
      </c:scatterChart>
      <c:valAx>
        <c:axId val="1957619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7620416"/>
        <c:crosses val="autoZero"/>
        <c:crossBetween val="midCat"/>
      </c:valAx>
      <c:valAx>
        <c:axId val="1957620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761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63893894140988E-2"/>
          <c:y val="3.9909291351539436E-2"/>
          <c:w val="0.88494952237553381"/>
          <c:h val="0.8331066059316175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32-4A42-A889-307220D9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619584"/>
        <c:axId val="1957620416"/>
      </c:scatterChart>
      <c:valAx>
        <c:axId val="1957619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7620416"/>
        <c:crosses val="autoZero"/>
        <c:crossBetween val="midCat"/>
      </c:valAx>
      <c:valAx>
        <c:axId val="1957620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761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17</xdr:row>
      <xdr:rowOff>0</xdr:rowOff>
    </xdr:from>
    <xdr:to>
      <xdr:col>16</xdr:col>
      <xdr:colOff>238125</xdr:colOff>
      <xdr:row>43</xdr:row>
      <xdr:rowOff>166688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A329A3E-475B-45B3-A2DF-F39A5B187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85725</xdr:colOff>
      <xdr:row>17</xdr:row>
      <xdr:rowOff>123825</xdr:rowOff>
    </xdr:from>
    <xdr:ext cx="533400" cy="376238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4667555-F244-4159-A168-FFE62D479414}"/>
            </a:ext>
          </a:extLst>
        </xdr:cNvPr>
        <xdr:cNvSpPr txBox="1"/>
      </xdr:nvSpPr>
      <xdr:spPr>
        <a:xfrm>
          <a:off x="2550319" y="3386138"/>
          <a:ext cx="533400" cy="3762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 i="1"/>
            <a:t>T,</a:t>
          </a:r>
          <a:r>
            <a:rPr lang="en-US" sz="1800" b="1" i="1" baseline="0"/>
            <a:t> [C]</a:t>
          </a:r>
          <a:endParaRPr lang="ru-RU" sz="1800" b="1" i="1"/>
        </a:p>
      </xdr:txBody>
    </xdr:sp>
    <xdr:clientData/>
  </xdr:oneCellAnchor>
  <xdr:oneCellAnchor>
    <xdr:from>
      <xdr:col>15</xdr:col>
      <xdr:colOff>34925</xdr:colOff>
      <xdr:row>41</xdr:row>
      <xdr:rowOff>1587</xdr:rowOff>
    </xdr:from>
    <xdr:ext cx="647700" cy="28180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FF78108-FB2C-4736-BDDE-C974AADB7B61}"/>
            </a:ext>
          </a:extLst>
        </xdr:cNvPr>
        <xdr:cNvSpPr txBox="1"/>
      </xdr:nvSpPr>
      <xdr:spPr>
        <a:xfrm>
          <a:off x="7869238" y="7835900"/>
          <a:ext cx="64770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L,</a:t>
          </a:r>
          <a:r>
            <a:rPr lang="en-US" sz="1800" b="1" i="1" baseline="0"/>
            <a:t> [m]</a:t>
          </a:r>
          <a:endParaRPr lang="ru-RU" sz="1800" b="1" i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17</xdr:row>
      <xdr:rowOff>0</xdr:rowOff>
    </xdr:from>
    <xdr:to>
      <xdr:col>16</xdr:col>
      <xdr:colOff>238125</xdr:colOff>
      <xdr:row>43</xdr:row>
      <xdr:rowOff>166688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1E4655B-9355-4855-B52D-D88A771B1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85725</xdr:colOff>
      <xdr:row>17</xdr:row>
      <xdr:rowOff>123825</xdr:rowOff>
    </xdr:from>
    <xdr:ext cx="533400" cy="37623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5950379-6F6D-42F7-A1FC-D40434E4A7DA}"/>
            </a:ext>
          </a:extLst>
        </xdr:cNvPr>
        <xdr:cNvSpPr txBox="1"/>
      </xdr:nvSpPr>
      <xdr:spPr>
        <a:xfrm>
          <a:off x="2552700" y="3390900"/>
          <a:ext cx="533400" cy="3762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 i="1"/>
            <a:t>T,</a:t>
          </a:r>
          <a:r>
            <a:rPr lang="en-US" sz="1800" b="1" i="1" baseline="0"/>
            <a:t> [C]</a:t>
          </a:r>
          <a:endParaRPr lang="ru-RU" sz="1800" b="1" i="1"/>
        </a:p>
      </xdr:txBody>
    </xdr:sp>
    <xdr:clientData/>
  </xdr:oneCellAnchor>
  <xdr:oneCellAnchor>
    <xdr:from>
      <xdr:col>15</xdr:col>
      <xdr:colOff>34925</xdr:colOff>
      <xdr:row>41</xdr:row>
      <xdr:rowOff>1587</xdr:rowOff>
    </xdr:from>
    <xdr:ext cx="647700" cy="28180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1C0C99E-BCC9-41E5-9491-9691539B88D3}"/>
            </a:ext>
          </a:extLst>
        </xdr:cNvPr>
        <xdr:cNvSpPr txBox="1"/>
      </xdr:nvSpPr>
      <xdr:spPr>
        <a:xfrm>
          <a:off x="7874000" y="7840662"/>
          <a:ext cx="64770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L,</a:t>
          </a:r>
          <a:r>
            <a:rPr lang="en-US" sz="1800" b="1" i="1" baseline="0"/>
            <a:t> [m]</a:t>
          </a:r>
          <a:endParaRPr lang="ru-RU" sz="18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56A7-5680-4966-A75A-45EF7C97EDDE}">
  <sheetPr codeName="Лист1"/>
  <dimension ref="A3:AJ15"/>
  <sheetViews>
    <sheetView tabSelected="1" zoomScale="80" zoomScaleNormal="80" workbookViewId="0">
      <selection activeCell="G13" sqref="G13:AI13"/>
    </sheetView>
  </sheetViews>
  <sheetFormatPr defaultRowHeight="15" x14ac:dyDescent="0.25"/>
  <cols>
    <col min="3" max="3" width="9.5703125" bestFit="1" customWidth="1"/>
    <col min="6" max="36" width="7.140625" customWidth="1"/>
  </cols>
  <sheetData>
    <row r="3" spans="1:36" x14ac:dyDescent="0.25">
      <c r="B3" s="3" t="s">
        <v>0</v>
      </c>
      <c r="C3" s="3">
        <v>0.1</v>
      </c>
    </row>
    <row r="4" spans="1:36" x14ac:dyDescent="0.25">
      <c r="B4" s="3" t="s">
        <v>1</v>
      </c>
      <c r="C4" s="4">
        <f>C3/30</f>
        <v>3.3333333333333335E-3</v>
      </c>
    </row>
    <row r="5" spans="1:36" x14ac:dyDescent="0.25">
      <c r="B5" s="3" t="s">
        <v>2</v>
      </c>
      <c r="C5" s="9">
        <f>(C9*C8*C4^2)/(2*C10)</f>
        <v>0.4333333333333334</v>
      </c>
    </row>
    <row r="6" spans="1:36" x14ac:dyDescent="0.25">
      <c r="B6" s="5" t="s">
        <v>3</v>
      </c>
      <c r="C6" s="5">
        <v>620</v>
      </c>
      <c r="D6">
        <v>620.10000000000014</v>
      </c>
    </row>
    <row r="7" spans="1:36" x14ac:dyDescent="0.25">
      <c r="A7" s="7"/>
      <c r="B7" s="8"/>
      <c r="C7" s="8"/>
      <c r="D7" s="7"/>
    </row>
    <row r="8" spans="1:36" x14ac:dyDescent="0.25">
      <c r="B8" s="6" t="s">
        <v>4</v>
      </c>
      <c r="C8" s="6">
        <v>460</v>
      </c>
    </row>
    <row r="9" spans="1:36" x14ac:dyDescent="0.25">
      <c r="B9" s="3" t="s">
        <v>5</v>
      </c>
      <c r="C9" s="3">
        <v>7800</v>
      </c>
    </row>
    <row r="10" spans="1:36" x14ac:dyDescent="0.25">
      <c r="B10" s="5" t="s">
        <v>6</v>
      </c>
      <c r="C10" s="5">
        <v>46</v>
      </c>
    </row>
    <row r="11" spans="1:36" x14ac:dyDescent="0.25">
      <c r="A11" s="7"/>
      <c r="B11" s="8"/>
      <c r="C11" s="8"/>
      <c r="D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6" t="s">
        <v>8</v>
      </c>
      <c r="C12" s="6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ht="17.25" customHeight="1" x14ac:dyDescent="0.25">
      <c r="B13" s="3" t="s">
        <v>9</v>
      </c>
      <c r="C13" s="3">
        <v>100</v>
      </c>
      <c r="E13" t="s">
        <v>7</v>
      </c>
      <c r="F13">
        <f>300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>
        <v>100</v>
      </c>
    </row>
    <row r="15" spans="1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61298-375E-48E3-AC53-5E0400A94936}">
  <sheetPr codeName="Лист2"/>
  <dimension ref="A3:AJ16"/>
  <sheetViews>
    <sheetView zoomScale="80" zoomScaleNormal="80" workbookViewId="0">
      <selection activeCell="G15" sqref="G15"/>
    </sheetView>
  </sheetViews>
  <sheetFormatPr defaultRowHeight="15" x14ac:dyDescent="0.25"/>
  <cols>
    <col min="3" max="3" width="9.5703125" bestFit="1" customWidth="1"/>
    <col min="6" max="36" width="7.140625" customWidth="1"/>
  </cols>
  <sheetData>
    <row r="3" spans="1:36" x14ac:dyDescent="0.25">
      <c r="B3" s="3" t="s">
        <v>0</v>
      </c>
      <c r="C3" s="3">
        <v>0.1</v>
      </c>
    </row>
    <row r="4" spans="1:36" x14ac:dyDescent="0.25">
      <c r="B4" s="3" t="s">
        <v>1</v>
      </c>
      <c r="C4" s="4">
        <f>C3/30</f>
        <v>3.3333333333333335E-3</v>
      </c>
    </row>
    <row r="5" spans="1:36" x14ac:dyDescent="0.25">
      <c r="B5" s="3" t="s">
        <v>2</v>
      </c>
      <c r="C5" s="9">
        <f>(C9*C8*C4^2)/(2*C10)</f>
        <v>0.4333333333333334</v>
      </c>
    </row>
    <row r="6" spans="1:36" x14ac:dyDescent="0.25">
      <c r="B6" s="5" t="s">
        <v>3</v>
      </c>
      <c r="C6" s="5">
        <v>5000</v>
      </c>
      <c r="D6">
        <v>5000.2333333333345</v>
      </c>
    </row>
    <row r="7" spans="1:36" x14ac:dyDescent="0.25">
      <c r="A7" s="7"/>
      <c r="B7" s="8"/>
      <c r="C7" s="8"/>
      <c r="D7" s="7"/>
    </row>
    <row r="8" spans="1:36" x14ac:dyDescent="0.25">
      <c r="B8" s="6" t="s">
        <v>4</v>
      </c>
      <c r="C8" s="6">
        <v>460</v>
      </c>
    </row>
    <row r="9" spans="1:36" x14ac:dyDescent="0.25">
      <c r="B9" s="3" t="s">
        <v>5</v>
      </c>
      <c r="C9" s="3">
        <v>7800</v>
      </c>
    </row>
    <row r="10" spans="1:36" x14ac:dyDescent="0.25">
      <c r="B10" s="5" t="s">
        <v>6</v>
      </c>
      <c r="C10" s="5">
        <v>46</v>
      </c>
    </row>
    <row r="11" spans="1:36" x14ac:dyDescent="0.25">
      <c r="A11" s="7"/>
      <c r="B11" s="8"/>
      <c r="C11" s="8"/>
      <c r="D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6" t="s">
        <v>8</v>
      </c>
      <c r="C12" s="6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ht="17.25" customHeight="1" x14ac:dyDescent="0.25">
      <c r="B13" s="3" t="s">
        <v>9</v>
      </c>
      <c r="C13" s="3">
        <v>100</v>
      </c>
      <c r="E13" t="s">
        <v>7</v>
      </c>
      <c r="F13">
        <f>(F16/C10)*C4+G13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v>100</v>
      </c>
    </row>
    <row r="15" spans="1:36" x14ac:dyDescent="0.25">
      <c r="E15" t="s">
        <v>10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1:36" x14ac:dyDescent="0.25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Александр Бодров</cp:lastModifiedBy>
  <dcterms:created xsi:type="dcterms:W3CDTF">2021-03-20T08:34:43Z</dcterms:created>
  <dcterms:modified xsi:type="dcterms:W3CDTF">2021-03-20T19:41:47Z</dcterms:modified>
</cp:coreProperties>
</file>